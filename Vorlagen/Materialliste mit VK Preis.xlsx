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ivion.sharepoint.com/sites/Kivion832/Shared Documents/General/Kunden/Implementierung/Diart Dämmstoffe/Unterlagen/"/>
    </mc:Choice>
  </mc:AlternateContent>
  <xr:revisionPtr revIDLastSave="88" documentId="8_{EE6C7E6C-FF8E-481F-B2BD-393339ECB03C}" xr6:coauthVersionLast="47" xr6:coauthVersionMax="47" xr10:uidLastSave="{D32AEC36-3BB5-4A0B-8B0D-140FE980D04A}"/>
  <bookViews>
    <workbookView xWindow="-110" yWindow="-110" windowWidth="38620" windowHeight="21100" xr2:uid="{00000000-000D-0000-FFFF-FFFF00000000}"/>
  </bookViews>
  <sheets>
    <sheet name="Materiallis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13" i="1"/>
  <c r="F15" i="1"/>
  <c r="F16" i="1"/>
  <c r="F20" i="1"/>
  <c r="F22" i="1"/>
  <c r="F3" i="1"/>
  <c r="F4" i="1"/>
  <c r="F5" i="1"/>
  <c r="E3" i="1"/>
  <c r="E4" i="1"/>
  <c r="E6" i="1"/>
  <c r="F6" i="1" s="1"/>
  <c r="E7" i="1"/>
  <c r="F7" i="1" s="1"/>
  <c r="E9" i="1"/>
  <c r="F9" i="1" s="1"/>
  <c r="E10" i="1"/>
  <c r="F10" i="1" s="1"/>
  <c r="E11" i="1"/>
  <c r="F11" i="1" s="1"/>
  <c r="E12" i="1"/>
  <c r="F12" i="1" s="1"/>
  <c r="E14" i="1"/>
  <c r="F14" i="1" s="1"/>
  <c r="E16" i="1"/>
  <c r="E17" i="1"/>
  <c r="F17" i="1" s="1"/>
  <c r="E18" i="1"/>
  <c r="F18" i="1" s="1"/>
  <c r="E19" i="1"/>
  <c r="F19" i="1" s="1"/>
  <c r="E20" i="1"/>
  <c r="E22" i="1"/>
  <c r="E2" i="1"/>
  <c r="F2" i="1" s="1"/>
  <c r="F25" i="1" l="1"/>
</calcChain>
</file>

<file path=xl/sharedStrings.xml><?xml version="1.0" encoding="utf-8"?>
<sst xmlns="http://schemas.openxmlformats.org/spreadsheetml/2006/main" count="50" uniqueCount="42">
  <si>
    <t>Artikel</t>
  </si>
  <si>
    <t>Menge</t>
  </si>
  <si>
    <t>Einheit</t>
  </si>
  <si>
    <t>Einzelpreis (€)</t>
  </si>
  <si>
    <t>Gesamt (€)</t>
  </si>
  <si>
    <t>Kooltherm K5 WDV</t>
  </si>
  <si>
    <t>Schraubdübel STR-U-2G 155 mm</t>
  </si>
  <si>
    <t>Rondellen STR‑R rosa</t>
  </si>
  <si>
    <t>Sanitox 10 l</t>
  </si>
  <si>
    <t>Silikatverdünner 10 l</t>
  </si>
  <si>
    <t>Zwischensumme netto</t>
  </si>
  <si>
    <t>MwSt. 19 %</t>
  </si>
  <si>
    <t>Gesamt brutto</t>
  </si>
  <si>
    <t>m²</t>
  </si>
  <si>
    <t>Sack</t>
  </si>
  <si>
    <t>Stück</t>
  </si>
  <si>
    <t>Kanister</t>
  </si>
  <si>
    <t>Rolle</t>
  </si>
  <si>
    <t>l</t>
  </si>
  <si>
    <t>lfm</t>
  </si>
  <si>
    <t>Tiefgrund</t>
  </si>
  <si>
    <t>Putzgrundierung</t>
  </si>
  <si>
    <t>kg</t>
  </si>
  <si>
    <t>Silikatfarbe 15l    2 x Anstrich</t>
  </si>
  <si>
    <t>Kleber – Villerit Inno Therm 25 kg</t>
  </si>
  <si>
    <t>Armierungsgewebe 165 g/m²  55m²</t>
  </si>
  <si>
    <t>Stockputz Korn 2  25kg      3kg/m²</t>
  </si>
  <si>
    <t>Sockelschiene PLUS 100 mm  2,50m</t>
  </si>
  <si>
    <t>PVC‑Eckwinkel mit Gewebe  10x15cm</t>
  </si>
  <si>
    <t xml:space="preserve">Quick‑Masker 180 cm  20m </t>
  </si>
  <si>
    <t>Malerabdeckvlies  220g  50m²</t>
  </si>
  <si>
    <t>Kleben-Armieren  9,6 kg/m²</t>
  </si>
  <si>
    <t>6 Stück pro m²</t>
  </si>
  <si>
    <t>Preisgruppe A-C, D auf Anfrage</t>
  </si>
  <si>
    <t>Anputzleiste 8×8 mm  2,60m</t>
  </si>
  <si>
    <t>Preise mit Lieferung und Abladung, außer Pfand für Euro-Paletten</t>
  </si>
  <si>
    <t>Preise für Zubehör mind. Ende Mai (Preiserhöhung 4% ab 13.05 schon berücksichtigt!)</t>
  </si>
  <si>
    <t>Preis für Kooltherm: freibleibend, solange Vorrat reicht, ab 22.05 Lieferdatum + 7 %!!</t>
  </si>
  <si>
    <t>Zahlung: 10 Tage mit 3 % Skonto auf Netto-Warenwert</t>
  </si>
  <si>
    <t>Aufschlag</t>
  </si>
  <si>
    <t>Einzelpreis PDF (€)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</si>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</sst>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top"/>
    </xf>
    <xf numFmtId="9" fontId="0" fillId="0" borderId="0" xfId="0" applyNumberFormat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selection activeCell="H17" sqref="H17"/>
    </sheetView>
  </sheetViews>
  <sheetFormatPr baseColWidth="10" defaultColWidth="9.1796875" defaultRowHeight="14.5" x14ac:dyDescent="0.35"/>
  <cols>
    <col min="2" max="2" width="37.1796875" customWidth="1"/>
    <col min="5" max="5" width="13.453125" customWidth="1"/>
    <col min="6" max="7" width="13" customWidth="1"/>
    <col min="8" max="8" width="16.26953125" bestFit="1" customWidth="1"/>
  </cols>
  <sheetData>
    <row r="1" spans="1:9" x14ac:dyDescent="0.35">
      <c r="A1" t="s">
        <v>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40</v>
      </c>
      <c r="I1" s="7" t="s">
        <v>39</v>
      </c>
    </row>
    <row r="2" spans="1:9" x14ac:dyDescent="0.35">
      <c r="A2">
        <v>1</v>
      </c>
      <c r="B2" s="2" t="s">
        <v>20</v>
      </c>
      <c r="C2" s="3">
        <v>50</v>
      </c>
      <c r="D2" s="4" t="s">
        <v>18</v>
      </c>
      <c r="E2" s="3">
        <f>H2*(1+I2)</f>
        <v>1.9319999999999999</v>
      </c>
      <c r="F2" s="3">
        <f>E2*C2</f>
        <v>96.6</v>
      </c>
      <c r="G2" s="3"/>
      <c r="H2" s="3">
        <v>1.61</v>
      </c>
      <c r="I2" s="8">
        <v>0.2</v>
      </c>
    </row>
    <row r="3" spans="1:9" x14ac:dyDescent="0.35">
      <c r="A3">
        <v>2</v>
      </c>
      <c r="B3" t="s">
        <v>5</v>
      </c>
      <c r="C3">
        <v>240</v>
      </c>
      <c r="D3" t="s">
        <v>13</v>
      </c>
      <c r="E3" s="3">
        <f t="shared" ref="E3:E22" si="0">H3*(1+I3)</f>
        <v>62.64</v>
      </c>
      <c r="F3" s="3">
        <f t="shared" ref="F3:F22" si="1">E3*C3</f>
        <v>15033.6</v>
      </c>
      <c r="H3">
        <v>52.2</v>
      </c>
      <c r="I3" s="8">
        <v>0.2</v>
      </c>
    </row>
    <row r="4" spans="1:9" x14ac:dyDescent="0.35">
      <c r="A4">
        <v>3</v>
      </c>
      <c r="B4" t="s">
        <v>24</v>
      </c>
      <c r="C4">
        <v>92</v>
      </c>
      <c r="D4" t="s">
        <v>14</v>
      </c>
      <c r="E4" s="3">
        <f t="shared" si="0"/>
        <v>19.8</v>
      </c>
      <c r="F4" s="3">
        <f t="shared" si="1"/>
        <v>1821.6000000000001</v>
      </c>
      <c r="H4">
        <v>16.5</v>
      </c>
      <c r="I4" s="8">
        <v>0.2</v>
      </c>
    </row>
    <row r="5" spans="1:9" x14ac:dyDescent="0.35">
      <c r="A5">
        <v>4</v>
      </c>
      <c r="B5" t="s">
        <v>31</v>
      </c>
      <c r="E5" s="3"/>
      <c r="F5" s="3">
        <f t="shared" si="1"/>
        <v>0</v>
      </c>
      <c r="I5" s="8">
        <v>0.2</v>
      </c>
    </row>
    <row r="6" spans="1:9" x14ac:dyDescent="0.35">
      <c r="A6">
        <v>5</v>
      </c>
      <c r="B6" t="s">
        <v>25</v>
      </c>
      <c r="C6">
        <v>275</v>
      </c>
      <c r="D6" t="s">
        <v>13</v>
      </c>
      <c r="E6" s="3">
        <f t="shared" si="0"/>
        <v>1.1040000000000001</v>
      </c>
      <c r="F6" s="3">
        <f t="shared" si="1"/>
        <v>303.60000000000002</v>
      </c>
      <c r="H6">
        <v>0.92</v>
      </c>
      <c r="I6" s="8">
        <v>0.2</v>
      </c>
    </row>
    <row r="7" spans="1:9" x14ac:dyDescent="0.35">
      <c r="A7">
        <v>6</v>
      </c>
      <c r="B7" t="s">
        <v>6</v>
      </c>
      <c r="C7">
        <v>1500</v>
      </c>
      <c r="D7" t="s">
        <v>15</v>
      </c>
      <c r="E7" s="3">
        <f t="shared" si="0"/>
        <v>0.66</v>
      </c>
      <c r="F7" s="3">
        <f t="shared" si="1"/>
        <v>990</v>
      </c>
      <c r="H7">
        <v>0.55000000000000004</v>
      </c>
      <c r="I7" s="8">
        <v>0.2</v>
      </c>
    </row>
    <row r="8" spans="1:9" x14ac:dyDescent="0.35">
      <c r="A8">
        <v>7</v>
      </c>
      <c r="B8" t="s">
        <v>32</v>
      </c>
      <c r="E8" s="3"/>
      <c r="F8" s="3">
        <f t="shared" si="1"/>
        <v>0</v>
      </c>
      <c r="I8" s="8">
        <v>0.2</v>
      </c>
    </row>
    <row r="9" spans="1:9" x14ac:dyDescent="0.35">
      <c r="A9">
        <v>8</v>
      </c>
      <c r="B9" t="s">
        <v>7</v>
      </c>
      <c r="C9">
        <v>1500</v>
      </c>
      <c r="D9" t="s">
        <v>15</v>
      </c>
      <c r="E9" s="3">
        <f t="shared" si="0"/>
        <v>0.26400000000000001</v>
      </c>
      <c r="F9" s="3">
        <f t="shared" si="1"/>
        <v>396</v>
      </c>
      <c r="H9">
        <v>0.22</v>
      </c>
      <c r="I9" s="8">
        <v>0.2</v>
      </c>
    </row>
    <row r="10" spans="1:9" x14ac:dyDescent="0.35">
      <c r="A10">
        <v>9</v>
      </c>
      <c r="B10" t="s">
        <v>21</v>
      </c>
      <c r="C10">
        <v>50</v>
      </c>
      <c r="D10" t="s">
        <v>22</v>
      </c>
      <c r="E10" s="3">
        <f t="shared" si="0"/>
        <v>2.2559999999999998</v>
      </c>
      <c r="F10" s="3">
        <f t="shared" si="1"/>
        <v>112.79999999999998</v>
      </c>
      <c r="H10">
        <v>1.88</v>
      </c>
      <c r="I10" s="8">
        <v>0.2</v>
      </c>
    </row>
    <row r="11" spans="1:9" x14ac:dyDescent="0.35">
      <c r="A11">
        <v>10</v>
      </c>
      <c r="B11" t="s">
        <v>26</v>
      </c>
      <c r="C11">
        <v>29</v>
      </c>
      <c r="D11" t="s">
        <v>14</v>
      </c>
      <c r="E11" s="3">
        <f t="shared" si="0"/>
        <v>18</v>
      </c>
      <c r="F11" s="3">
        <f t="shared" si="1"/>
        <v>522</v>
      </c>
      <c r="H11">
        <v>15</v>
      </c>
      <c r="I11" s="8">
        <v>0.2</v>
      </c>
    </row>
    <row r="12" spans="1:9" x14ac:dyDescent="0.35">
      <c r="A12">
        <v>11</v>
      </c>
      <c r="B12" t="s">
        <v>23</v>
      </c>
      <c r="C12">
        <v>90</v>
      </c>
      <c r="D12" t="s">
        <v>18</v>
      </c>
      <c r="E12" s="3">
        <f t="shared" si="0"/>
        <v>7.56</v>
      </c>
      <c r="F12" s="3">
        <f t="shared" si="1"/>
        <v>680.4</v>
      </c>
      <c r="H12">
        <v>6.3</v>
      </c>
      <c r="I12" s="8">
        <v>0.2</v>
      </c>
    </row>
    <row r="13" spans="1:9" x14ac:dyDescent="0.35">
      <c r="A13">
        <v>12</v>
      </c>
      <c r="B13" t="s">
        <v>33</v>
      </c>
      <c r="E13" s="3"/>
      <c r="F13" s="3">
        <f t="shared" si="1"/>
        <v>0</v>
      </c>
      <c r="I13" s="8">
        <v>0.2</v>
      </c>
    </row>
    <row r="14" spans="1:9" x14ac:dyDescent="0.35">
      <c r="A14">
        <v>13</v>
      </c>
      <c r="B14" t="s">
        <v>34</v>
      </c>
      <c r="C14">
        <v>80.599999999999994</v>
      </c>
      <c r="D14" t="s">
        <v>19</v>
      </c>
      <c r="E14" s="3">
        <f t="shared" si="0"/>
        <v>1.476</v>
      </c>
      <c r="F14" s="3">
        <f t="shared" si="1"/>
        <v>118.96559999999999</v>
      </c>
      <c r="H14">
        <v>1.23</v>
      </c>
      <c r="I14" s="8">
        <v>0.2</v>
      </c>
    </row>
    <row r="15" spans="1:9" x14ac:dyDescent="0.35">
      <c r="E15" s="3"/>
      <c r="F15" s="3">
        <f t="shared" si="1"/>
        <v>0</v>
      </c>
    </row>
    <row r="16" spans="1:9" x14ac:dyDescent="0.35">
      <c r="A16">
        <v>14</v>
      </c>
      <c r="B16" t="s">
        <v>27</v>
      </c>
      <c r="C16">
        <v>20</v>
      </c>
      <c r="D16" t="s">
        <v>15</v>
      </c>
      <c r="E16" s="3">
        <f t="shared" si="0"/>
        <v>18</v>
      </c>
      <c r="F16" s="3">
        <f t="shared" si="1"/>
        <v>360</v>
      </c>
      <c r="H16">
        <v>15</v>
      </c>
      <c r="I16" s="8">
        <v>0.2</v>
      </c>
    </row>
    <row r="17" spans="1:9" x14ac:dyDescent="0.35">
      <c r="A17">
        <v>15</v>
      </c>
      <c r="B17" t="s">
        <v>28</v>
      </c>
      <c r="C17">
        <v>125</v>
      </c>
      <c r="D17" t="s">
        <v>19</v>
      </c>
      <c r="E17" s="3">
        <f t="shared" si="0"/>
        <v>0.96</v>
      </c>
      <c r="F17" s="3">
        <f t="shared" si="1"/>
        <v>120</v>
      </c>
      <c r="H17">
        <v>0.8</v>
      </c>
      <c r="I17" s="8">
        <v>0.2</v>
      </c>
    </row>
    <row r="18" spans="1:9" x14ac:dyDescent="0.35">
      <c r="A18">
        <v>16</v>
      </c>
      <c r="B18" t="s">
        <v>8</v>
      </c>
      <c r="C18">
        <v>1</v>
      </c>
      <c r="D18" t="s">
        <v>16</v>
      </c>
      <c r="E18" s="3">
        <f t="shared" si="0"/>
        <v>50.4</v>
      </c>
      <c r="F18" s="3">
        <f t="shared" si="1"/>
        <v>50.4</v>
      </c>
      <c r="H18">
        <v>42</v>
      </c>
      <c r="I18" s="8">
        <v>0.2</v>
      </c>
    </row>
    <row r="19" spans="1:9" x14ac:dyDescent="0.35">
      <c r="A19">
        <v>17</v>
      </c>
      <c r="B19" t="s">
        <v>9</v>
      </c>
      <c r="C19">
        <v>1</v>
      </c>
      <c r="D19" t="s">
        <v>16</v>
      </c>
      <c r="E19" s="3">
        <f t="shared" si="0"/>
        <v>38.64</v>
      </c>
      <c r="F19" s="3">
        <f t="shared" si="1"/>
        <v>38.64</v>
      </c>
      <c r="H19">
        <v>32.200000000000003</v>
      </c>
      <c r="I19" s="8">
        <v>0.2</v>
      </c>
    </row>
    <row r="20" spans="1:9" x14ac:dyDescent="0.35">
      <c r="A20">
        <v>18</v>
      </c>
      <c r="B20" t="s">
        <v>29</v>
      </c>
      <c r="C20">
        <v>1</v>
      </c>
      <c r="D20" t="s">
        <v>17</v>
      </c>
      <c r="E20" s="3">
        <f t="shared" si="0"/>
        <v>3.8639999999999999</v>
      </c>
      <c r="F20" s="3">
        <f t="shared" si="1"/>
        <v>3.8639999999999999</v>
      </c>
      <c r="H20">
        <v>3.22</v>
      </c>
      <c r="I20" s="8">
        <v>0.2</v>
      </c>
    </row>
    <row r="21" spans="1:9" x14ac:dyDescent="0.35">
      <c r="E21" s="3"/>
      <c r="F21" s="3"/>
      <c r="I21" s="8">
        <v>0.2</v>
      </c>
    </row>
    <row r="22" spans="1:9" x14ac:dyDescent="0.35">
      <c r="A22">
        <v>19</v>
      </c>
      <c r="B22" t="s">
        <v>30</v>
      </c>
      <c r="C22">
        <v>5</v>
      </c>
      <c r="D22" t="s">
        <v>17</v>
      </c>
      <c r="E22" s="3">
        <f t="shared" si="0"/>
        <v>31.92</v>
      </c>
      <c r="F22" s="3">
        <f t="shared" si="1"/>
        <v>159.60000000000002</v>
      </c>
      <c r="H22">
        <v>26.6</v>
      </c>
      <c r="I22" s="8">
        <v>0.2</v>
      </c>
    </row>
    <row r="23" spans="1:9" x14ac:dyDescent="0.35">
      <c r="I23" s="8"/>
    </row>
    <row r="24" spans="1:9" x14ac:dyDescent="0.35">
      <c r="I24" s="8"/>
    </row>
    <row r="25" spans="1:9" x14ac:dyDescent="0.35">
      <c r="B25" t="s">
        <v>10</v>
      </c>
      <c r="F25" s="5">
        <f>SUM(F2:F24)</f>
        <v>20808.069599999999</v>
      </c>
      <c r="G25" s="5"/>
      <c r="H25" s="5"/>
    </row>
    <row r="26" spans="1:9" x14ac:dyDescent="0.35">
      <c r="B26" t="s">
        <v>11</v>
      </c>
      <c r="F26">
        <v>3426.4</v>
      </c>
    </row>
    <row r="27" spans="1:9" x14ac:dyDescent="0.35">
      <c r="B27" t="s">
        <v>12</v>
      </c>
      <c r="F27" s="5">
        <v>21460.06</v>
      </c>
      <c r="G27" s="5"/>
    </row>
    <row r="30" spans="1:9" x14ac:dyDescent="0.35">
      <c r="B30" s="9" t="s">
        <v>35</v>
      </c>
      <c r="C30" s="9"/>
      <c r="D30" s="9"/>
      <c r="E30" s="9"/>
      <c r="F30" s="9"/>
      <c r="G30" s="6"/>
    </row>
    <row r="31" spans="1:9" x14ac:dyDescent="0.35">
      <c r="B31" s="9" t="s">
        <v>36</v>
      </c>
      <c r="C31" s="9"/>
      <c r="D31" s="9"/>
      <c r="E31" s="9"/>
      <c r="F31" s="9"/>
      <c r="G31" s="6"/>
    </row>
    <row r="32" spans="1:9" x14ac:dyDescent="0.35">
      <c r="B32" s="5"/>
      <c r="C32" s="5"/>
      <c r="D32" s="5"/>
      <c r="E32" s="5"/>
      <c r="F32" s="5"/>
      <c r="G32" s="5"/>
      <c r="H32" s="5"/>
    </row>
    <row r="33" spans="2:8" x14ac:dyDescent="0.35">
      <c r="B33" s="9" t="s">
        <v>37</v>
      </c>
      <c r="C33" s="9"/>
      <c r="D33" s="9"/>
      <c r="E33" s="9"/>
      <c r="F33" s="9"/>
      <c r="G33" s="6"/>
    </row>
    <row r="34" spans="2:8" x14ac:dyDescent="0.35">
      <c r="B34" s="5"/>
      <c r="C34" s="5"/>
      <c r="D34" s="5"/>
      <c r="E34" s="5"/>
      <c r="F34" s="5"/>
      <c r="G34" s="5"/>
      <c r="H34" s="5"/>
    </row>
    <row r="35" spans="2:8" x14ac:dyDescent="0.35">
      <c r="B35" s="9" t="s">
        <v>38</v>
      </c>
      <c r="C35" s="9"/>
      <c r="D35" s="9"/>
      <c r="E35" s="9"/>
      <c r="F35" s="9"/>
      <c r="G35" s="6"/>
    </row>
    <row r="36" spans="2:8" x14ac:dyDescent="0.35">
      <c r="B36" s="5"/>
      <c r="C36" s="5"/>
      <c r="D36" s="5"/>
      <c r="E36" s="5"/>
      <c r="F36" s="5"/>
      <c r="G36" s="5"/>
      <c r="H36" s="5"/>
    </row>
  </sheetData>
  <mergeCells count="4">
    <mergeCell ref="B30:F30"/>
    <mergeCell ref="B31:F31"/>
    <mergeCell ref="B33:F33"/>
    <mergeCell ref="B35:F3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CBEB41903BCB4C8D75091C61480F08" ma:contentTypeVersion="13" ma:contentTypeDescription="Create a new document." ma:contentTypeScope="" ma:versionID="4f19d0bb6a1b201046d760f14316c012">
  <xsd:schema xmlns:xsd="http://www.w3.org/2001/XMLSchema" xmlns:xs="http://www.w3.org/2001/XMLSchema" xmlns:p="http://schemas.microsoft.com/office/2006/metadata/properties" xmlns:ns2="d3c7b5a5-4f38-45fb-9bcd-0b6777eb6177" xmlns:ns3="4d5d9e17-5c53-43f4-9ef6-bfdd873b2a8b" targetNamespace="http://schemas.microsoft.com/office/2006/metadata/properties" ma:root="true" ma:fieldsID="44e6e070d40cc9e6b6595493b05a3133" ns2:_="" ns3:_="">
    <xsd:import namespace="d3c7b5a5-4f38-45fb-9bcd-0b6777eb6177"/>
    <xsd:import namespace="4d5d9e17-5c53-43f4-9ef6-bfdd873b2a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c7b5a5-4f38-45fb-9bcd-0b6777eb61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e607e8c-5153-4c78-b2ca-5fb91ba8ea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d9e17-5c53-43f4-9ef6-bfdd873b2a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587a1d-9cf3-4efa-bf5c-743abec7d1e8}" ma:internalName="TaxCatchAll" ma:showField="CatchAllData" ma:web="4d5d9e17-5c53-43f4-9ef6-bfdd873b2a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d5d9e17-5c53-43f4-9ef6-bfdd873b2a8b" xsi:nil="true"/>
    <lcf76f155ced4ddcb4097134ff3c332f xmlns="d3c7b5a5-4f38-45fb-9bcd-0b6777eb617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52C126-AD47-4D3C-8896-29A55933B5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c7b5a5-4f38-45fb-9bcd-0b6777eb6177"/>
    <ds:schemaRef ds:uri="4d5d9e17-5c53-43f4-9ef6-bfdd873b2a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6515E3-6291-4381-B69B-E6191E68726C}">
  <ds:schemaRefs>
    <ds:schemaRef ds:uri="http://schemas.microsoft.com/office/2006/metadata/properties"/>
    <ds:schemaRef ds:uri="http://schemas.microsoft.com/office/infopath/2007/PartnerControls"/>
    <ds:schemaRef ds:uri="4d5d9e17-5c53-43f4-9ef6-bfdd873b2a8b"/>
    <ds:schemaRef ds:uri="d3c7b5a5-4f38-45fb-9bcd-0b6777eb6177"/>
  </ds:schemaRefs>
</ds:datastoreItem>
</file>

<file path=customXml/itemProps3.xml><?xml version="1.0" encoding="utf-8"?>
<ds:datastoreItem xmlns:ds="http://schemas.openxmlformats.org/officeDocument/2006/customXml" ds:itemID="{1149465B-FFF5-40E6-A194-1F32981494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Materialliste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User</dc:creator>
  <cp:lastModifiedBy>Felix Feuchtmüller</cp:lastModifiedBy>
  <cp:lastPrinted>2026-05-06T07:19:18Z</cp:lastPrinted>
  <dcterms:created xsi:type="dcterms:W3CDTF">2026-04-30T14:45:21Z</dcterms:created>
  <dcterms:modified xsi:type="dcterms:W3CDTF">2026-05-21T12:03:27Z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0x01010008CBEB41903BCB4C8D75091C61480F08</vt:lpwstr>
  </property>
  <property fmtid="{D5CDD505-2E9C-101B-9397-08002B2CF9AE}" pid="3" name="Order">
    <vt:r8>3752900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